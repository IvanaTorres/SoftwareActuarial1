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ivana_000\Documents\Software Actuarial 1\SoftwareActuarial1\"/>
    </mc:Choice>
  </mc:AlternateContent>
  <xr:revisionPtr revIDLastSave="0" documentId="13_ncr:1_{27D0D946-DFF3-47F1-A68F-E0E06A2588A7}" xr6:coauthVersionLast="40" xr6:coauthVersionMax="40" xr10:uidLastSave="{00000000-0000-0000-0000-000000000000}"/>
  <bookViews>
    <workbookView xWindow="-110" yWindow="-110" windowWidth="19420" windowHeight="10460" activeTab="2" xr2:uid="{C625A4A6-07F4-46AC-9A45-30561D3D765C}"/>
  </bookViews>
  <sheets>
    <sheet name="Code" sheetId="11" r:id="rId1"/>
    <sheet name="Libro" sheetId="1" r:id="rId2"/>
    <sheet name="Sheet1" sheetId="37" r:id="rId3"/>
    <sheet name="Sheet2" sheetId="12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2" i="12" l="1"/>
  <c r="F12" i="12"/>
  <c r="F3" i="12" l="1"/>
  <c r="G3" i="12" l="1"/>
  <c r="F4" i="12"/>
  <c r="H3" i="12"/>
  <c r="H2" i="12"/>
  <c r="G4" i="12" l="1"/>
  <c r="H4" i="12" s="1"/>
  <c r="F5" i="12" s="1"/>
  <c r="C5" i="1"/>
  <c r="B6" i="1"/>
  <c r="B7" i="1"/>
  <c r="B8" i="1"/>
  <c r="B9" i="1"/>
  <c r="B10" i="1"/>
  <c r="B11" i="1"/>
  <c r="B12" i="1"/>
  <c r="B13" i="1"/>
  <c r="B14" i="1"/>
  <c r="B5" i="1"/>
  <c r="D5" i="1" s="1"/>
  <c r="E5" i="1" s="1"/>
  <c r="E4" i="1"/>
  <c r="G5" i="12" l="1"/>
  <c r="H5" i="12" s="1"/>
  <c r="C6" i="1"/>
  <c r="D6" i="1" s="1"/>
  <c r="E6" i="1" s="1"/>
  <c r="F6" i="12" l="1"/>
  <c r="G6" i="12" s="1"/>
  <c r="H6" i="12" s="1"/>
  <c r="C7" i="1"/>
  <c r="F7" i="12" l="1"/>
  <c r="G7" i="12" s="1"/>
  <c r="H7" i="12" s="1"/>
  <c r="F8" i="12" s="1"/>
  <c r="G8" i="12" s="1"/>
  <c r="H8" i="12" s="1"/>
  <c r="F9" i="12" s="1"/>
  <c r="G9" i="12" s="1"/>
  <c r="H9" i="12" s="1"/>
  <c r="F10" i="12" s="1"/>
  <c r="D7" i="1"/>
  <c r="E7" i="1" s="1"/>
  <c r="G10" i="12" l="1"/>
  <c r="H10" i="12"/>
  <c r="F11" i="12" s="1"/>
  <c r="C8" i="1"/>
  <c r="G11" i="12" l="1"/>
  <c r="H11" i="12" s="1"/>
  <c r="D8" i="1"/>
  <c r="E8" i="1" s="1"/>
  <c r="G12" i="12" l="1"/>
  <c r="H12" i="12" s="1"/>
  <c r="C9" i="1"/>
  <c r="D9" i="1" s="1"/>
  <c r="E9" i="1" s="1"/>
  <c r="C10" i="1" l="1"/>
  <c r="D10" i="1" s="1"/>
  <c r="E10" i="1" s="1"/>
  <c r="C11" i="1" l="1"/>
  <c r="D11" i="1" s="1"/>
  <c r="E11" i="1" s="1"/>
  <c r="C12" i="1" l="1"/>
  <c r="D12" i="1" s="1"/>
  <c r="E12" i="1" s="1"/>
  <c r="C13" i="1" l="1"/>
  <c r="D13" i="1" s="1"/>
  <c r="E13" i="1" s="1"/>
  <c r="C14" i="1" l="1"/>
  <c r="D14" i="1" s="1"/>
  <c r="E14" i="1" s="1"/>
</calcChain>
</file>

<file path=xl/sharedStrings.xml><?xml version="1.0" encoding="utf-8"?>
<sst xmlns="http://schemas.openxmlformats.org/spreadsheetml/2006/main" count="41" uniqueCount="19">
  <si>
    <t>Periodo</t>
  </si>
  <si>
    <t>Pago</t>
  </si>
  <si>
    <t>Intereses</t>
  </si>
  <si>
    <t>Abono a capital</t>
  </si>
  <si>
    <t>Saldo insoluto</t>
  </si>
  <si>
    <t>Tabla de amortización</t>
  </si>
  <si>
    <t>Deuda</t>
  </si>
  <si>
    <t>Tasa de interés</t>
  </si>
  <si>
    <t>Pago mensual</t>
  </si>
  <si>
    <t>Número de meses</t>
  </si>
  <si>
    <t>PERIODO</t>
  </si>
  <si>
    <t>PAGO</t>
  </si>
  <si>
    <t>INTERESES</t>
  </si>
  <si>
    <t>ABONO A CAPITAL</t>
  </si>
  <si>
    <t>SALDO INSOLUTO</t>
  </si>
  <si>
    <t>PAGO FRACCIONARIO</t>
  </si>
  <si>
    <t>DEUDA</t>
  </si>
  <si>
    <t>i</t>
  </si>
  <si>
    <t>NÚMERO DE PAGOS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</si>
</sst>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$&quot;#,##0.00;\-&quot;$&quot;#,##0.00"/>
    <numFmt numFmtId="165" formatCode="_-&quot;$&quot;* #,##0.00_-;\-&quot;$&quot;* #,##0.00_-;_-&quot;$&quot;* &quot;-&quot;??_-;_-@_-"/>
    <numFmt numFmtId="166" formatCode="&quot;$&quot;#,##0.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165" fontId="0" fillId="0" borderId="0" xfId="1" applyFont="1"/>
    <xf numFmtId="9" fontId="0" fillId="0" borderId="0" xfId="2" applyFont="1"/>
    <xf numFmtId="166" fontId="0" fillId="0" borderId="0" xfId="1" applyNumberFormat="1" applyFont="1"/>
    <xf numFmtId="166" fontId="0" fillId="0" borderId="0" xfId="0" applyNumberFormat="1"/>
    <xf numFmtId="164" fontId="0" fillId="0" borderId="0" xfId="1" applyNumberFormat="1" applyFont="1"/>
    <xf numFmtId="165" fontId="0" fillId="0" borderId="0" xfId="0" applyNumberFormat="1"/>
    <xf numFmtId="0" fontId="2" fillId="0" borderId="1" xfId="0" applyFont="1" applyBorder="1"/>
    <xf numFmtId="166" fontId="0" fillId="0" borderId="1" xfId="0" applyNumberFormat="1" applyBorder="1"/>
    <xf numFmtId="9" fontId="0" fillId="0" borderId="1" xfId="2" applyFont="1" applyBorder="1"/>
    <xf numFmtId="0" fontId="0" fillId="0" borderId="1" xfId="0" applyBorder="1"/>
  </cellXfs>
  <cellStyles count="3">
    <cellStyle name="Moneda" xfId="1" builtinId="4"/>
    <cellStyle name="Normal" xfId="0" builtinId="0"/>
    <cellStyle name="Porcentaj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C7517E-97E2-4B7C-81FD-01EDE6132401}">
  <sheetPr codeName="Sheet11"/>
  <dimension ref="A1:H14"/>
  <sheetViews>
    <sheetView workbookViewId="0"/>
  </sheetViews>
  <sheetFormatPr baseColWidth="10" defaultColWidth="8.7265625" defaultRowHeight="14.5" x14ac:dyDescent="0.35"/>
  <cols>
    <col min="1" max="1" width="20.54296875" bestFit="1" customWidth="1"/>
    <col min="2" max="2" width="10.54296875" bestFit="1" customWidth="1"/>
    <col min="3" max="3" width="9.26953125" bestFit="1" customWidth="1"/>
    <col min="4" max="4" width="14.7265625" bestFit="1" customWidth="1"/>
    <col min="5" max="5" width="13.7265625" bestFit="1" customWidth="1"/>
    <col min="7" max="7" width="17.453125" bestFit="1" customWidth="1"/>
    <col min="8" max="8" width="10.54296875" bestFit="1" customWidth="1"/>
  </cols>
  <sheetData>
    <row r="1" spans="1:8" x14ac:dyDescent="0.35">
      <c r="A1" s="1" t="s">
        <v>5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G3" s="1" t="s">
        <v>6</v>
      </c>
      <c r="H3" s="2">
        <v>9708.09</v>
      </c>
    </row>
    <row r="4" spans="1:8" x14ac:dyDescent="0.35">
      <c r="A4">
        <v>0</v>
      </c>
      <c r="E4" s="2">
        <v>1025</v>
      </c>
      <c r="G4" s="1" t="s">
        <v>9</v>
      </c>
      <c r="H4">
        <v>10</v>
      </c>
    </row>
    <row r="5" spans="1:8" x14ac:dyDescent="0.35">
      <c r="A5">
        <v>1</v>
      </c>
      <c r="B5" s="2">
        <v>1025</v>
      </c>
      <c r="C5" s="2">
        <v>97.080897830072786</v>
      </c>
      <c r="D5" s="2">
        <v>927.91910216992721</v>
      </c>
      <c r="E5" s="2">
        <v>8780.1708978300721</v>
      </c>
      <c r="G5" s="1" t="s">
        <v>7</v>
      </c>
      <c r="H5" s="3">
        <v>9.9999997764825821E-3</v>
      </c>
    </row>
    <row r="6" spans="1:8" x14ac:dyDescent="0.35">
      <c r="A6">
        <v>2</v>
      </c>
      <c r="B6" s="2">
        <v>1025</v>
      </c>
      <c r="C6" s="2">
        <v>87.801707037478877</v>
      </c>
      <c r="D6" s="2">
        <v>937.19829296252112</v>
      </c>
      <c r="E6" s="6">
        <v>7842.97</v>
      </c>
      <c r="G6" s="1" t="s">
        <v>8</v>
      </c>
      <c r="H6" s="2">
        <v>1025</v>
      </c>
    </row>
    <row r="7" spans="1:8" x14ac:dyDescent="0.35">
      <c r="A7">
        <v>3</v>
      </c>
      <c r="B7" s="2">
        <v>1025</v>
      </c>
      <c r="C7" s="2">
        <v>78.429698246959603</v>
      </c>
      <c r="D7" s="2">
        <v>946.57030175304044</v>
      </c>
      <c r="E7" s="6">
        <v>6896.4</v>
      </c>
    </row>
    <row r="8" spans="1:8" x14ac:dyDescent="0.35">
      <c r="A8">
        <v>4</v>
      </c>
      <c r="B8" s="2">
        <v>1025</v>
      </c>
      <c r="C8" s="2">
        <v>68.963998458534476</v>
      </c>
      <c r="D8" s="2">
        <v>956.03600154146557</v>
      </c>
      <c r="E8" s="6">
        <v>5940.36</v>
      </c>
    </row>
    <row r="9" spans="1:8" x14ac:dyDescent="0.35">
      <c r="A9">
        <v>5</v>
      </c>
      <c r="B9" s="2">
        <v>1025</v>
      </c>
      <c r="C9" s="2">
        <v>59.403598672226074</v>
      </c>
      <c r="D9" s="2">
        <v>965.59640132777395</v>
      </c>
      <c r="E9" s="6">
        <v>4974.76</v>
      </c>
    </row>
    <row r="10" spans="1:8" x14ac:dyDescent="0.35">
      <c r="A10">
        <v>6</v>
      </c>
      <c r="B10" s="2">
        <v>1025</v>
      </c>
      <c r="C10" s="2">
        <v>49.74759888805449</v>
      </c>
      <c r="D10" s="2">
        <v>975.25240111194546</v>
      </c>
      <c r="E10" s="6">
        <v>3999.51</v>
      </c>
    </row>
    <row r="11" spans="1:8" x14ac:dyDescent="0.35">
      <c r="A11">
        <v>7</v>
      </c>
      <c r="B11" s="2">
        <v>1025</v>
      </c>
      <c r="C11" s="2">
        <v>39.995099106039852</v>
      </c>
      <c r="D11" s="2">
        <v>985.0049008939601</v>
      </c>
      <c r="E11" s="6">
        <v>3014.51</v>
      </c>
    </row>
    <row r="12" spans="1:8" x14ac:dyDescent="0.35">
      <c r="A12">
        <v>8</v>
      </c>
      <c r="B12" s="2">
        <v>1025</v>
      </c>
      <c r="C12" s="2">
        <v>30.145099326204509</v>
      </c>
      <c r="D12" s="2">
        <v>994.85490067379544</v>
      </c>
      <c r="E12" s="6">
        <v>2019.66</v>
      </c>
    </row>
    <row r="13" spans="1:8" x14ac:dyDescent="0.35">
      <c r="A13">
        <v>9</v>
      </c>
      <c r="B13" s="2">
        <v>1025</v>
      </c>
      <c r="C13" s="2">
        <v>20.196599548570813</v>
      </c>
      <c r="D13" s="2">
        <v>1004.8034004514292</v>
      </c>
      <c r="E13" s="6">
        <v>1014.86</v>
      </c>
    </row>
    <row r="14" spans="1:8" x14ac:dyDescent="0.35">
      <c r="A14">
        <v>10</v>
      </c>
      <c r="B14" s="2">
        <v>1025</v>
      </c>
      <c r="C14" s="2">
        <v>10.148599773161113</v>
      </c>
      <c r="D14" s="2">
        <v>1014.8514002268389</v>
      </c>
      <c r="E14" s="6">
        <v>0.01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B56823-722B-42F1-BE42-8319F1D96C34}">
  <sheetPr codeName="Sheet1"/>
  <dimension ref="A1:H16"/>
  <sheetViews>
    <sheetView workbookViewId="0">
      <selection activeCell="G3" sqref="G3:G6"/>
    </sheetView>
  </sheetViews>
  <sheetFormatPr baseColWidth="10" defaultColWidth="8.7265625" defaultRowHeight="14.5" x14ac:dyDescent="0.35"/>
  <cols>
    <col min="1" max="1" width="20.26953125" bestFit="1" customWidth="1"/>
    <col min="2" max="2" width="10.54296875" bestFit="1" customWidth="1"/>
    <col min="4" max="4" width="14.7265625" bestFit="1" customWidth="1"/>
    <col min="5" max="5" width="13.7265625" bestFit="1" customWidth="1"/>
    <col min="7" max="7" width="17.453125" bestFit="1" customWidth="1"/>
    <col min="8" max="8" width="10.54296875" bestFit="1" customWidth="1"/>
  </cols>
  <sheetData>
    <row r="1" spans="1:8" x14ac:dyDescent="0.35">
      <c r="A1" s="1" t="s">
        <v>5</v>
      </c>
    </row>
    <row r="3" spans="1:8" x14ac:dyDescent="0.35">
      <c r="A3" s="1" t="s">
        <v>0</v>
      </c>
      <c r="B3" s="1" t="s">
        <v>1</v>
      </c>
      <c r="C3" s="1" t="s">
        <v>2</v>
      </c>
      <c r="D3" s="1" t="s">
        <v>3</v>
      </c>
      <c r="E3" s="1" t="s">
        <v>4</v>
      </c>
      <c r="G3" s="1" t="s">
        <v>6</v>
      </c>
      <c r="H3" s="4">
        <v>9708.09</v>
      </c>
    </row>
    <row r="4" spans="1:8" x14ac:dyDescent="0.35">
      <c r="A4">
        <v>0</v>
      </c>
      <c r="E4" s="5">
        <f>H3</f>
        <v>9708.09</v>
      </c>
      <c r="G4" s="1" t="s">
        <v>9</v>
      </c>
      <c r="H4">
        <v>10</v>
      </c>
    </row>
    <row r="5" spans="1:8" x14ac:dyDescent="0.35">
      <c r="A5">
        <v>1</v>
      </c>
      <c r="B5" s="5">
        <f>$H$6</f>
        <v>1025</v>
      </c>
      <c r="C5" s="5">
        <f>E4*$H$5</f>
        <v>97.0809</v>
      </c>
      <c r="D5" s="5">
        <f>B5-C5</f>
        <v>927.91909999999996</v>
      </c>
      <c r="E5" s="5">
        <f>E4-D5</f>
        <v>8780.170900000001</v>
      </c>
      <c r="G5" s="1" t="s">
        <v>7</v>
      </c>
      <c r="H5" s="3">
        <v>0.01</v>
      </c>
    </row>
    <row r="6" spans="1:8" x14ac:dyDescent="0.35">
      <c r="A6">
        <v>2</v>
      </c>
      <c r="B6" s="5">
        <f t="shared" ref="B6:B14" si="0">$H$6</f>
        <v>1025</v>
      </c>
      <c r="C6" s="5">
        <f>E5*$H$5</f>
        <v>87.801709000000017</v>
      </c>
      <c r="D6" s="5">
        <f>B6-C6</f>
        <v>937.19829099999993</v>
      </c>
      <c r="E6" s="5">
        <f t="shared" ref="E6:E14" si="1">E5-D6</f>
        <v>7842.9726090000013</v>
      </c>
      <c r="G6" s="1" t="s">
        <v>8</v>
      </c>
      <c r="H6" s="4">
        <v>1025</v>
      </c>
    </row>
    <row r="7" spans="1:8" x14ac:dyDescent="0.35">
      <c r="A7">
        <v>3</v>
      </c>
      <c r="B7" s="5">
        <f t="shared" si="0"/>
        <v>1025</v>
      </c>
      <c r="C7" s="5">
        <f t="shared" ref="C7:C14" si="2">E6*$H$5</f>
        <v>78.429726090000017</v>
      </c>
      <c r="D7" s="5">
        <f t="shared" ref="D7:D14" si="3">B7-C7</f>
        <v>946.57027390999997</v>
      </c>
      <c r="E7" s="5">
        <f t="shared" si="1"/>
        <v>6896.4023350900015</v>
      </c>
    </row>
    <row r="8" spans="1:8" x14ac:dyDescent="0.35">
      <c r="A8">
        <v>4</v>
      </c>
      <c r="B8" s="5">
        <f t="shared" si="0"/>
        <v>1025</v>
      </c>
      <c r="C8" s="5">
        <f t="shared" si="2"/>
        <v>68.964023350900021</v>
      </c>
      <c r="D8" s="5">
        <f t="shared" si="3"/>
        <v>956.03597664910001</v>
      </c>
      <c r="E8" s="5">
        <f t="shared" si="1"/>
        <v>5940.3663584409014</v>
      </c>
    </row>
    <row r="9" spans="1:8" x14ac:dyDescent="0.35">
      <c r="A9">
        <v>5</v>
      </c>
      <c r="B9" s="5">
        <f t="shared" si="0"/>
        <v>1025</v>
      </c>
      <c r="C9" s="5">
        <f t="shared" si="2"/>
        <v>59.403663584409017</v>
      </c>
      <c r="D9" s="5">
        <f t="shared" si="3"/>
        <v>965.59633641559094</v>
      </c>
      <c r="E9" s="5">
        <f t="shared" si="1"/>
        <v>4974.77002202531</v>
      </c>
    </row>
    <row r="10" spans="1:8" x14ac:dyDescent="0.35">
      <c r="A10">
        <v>6</v>
      </c>
      <c r="B10" s="5">
        <f t="shared" si="0"/>
        <v>1025</v>
      </c>
      <c r="C10" s="5">
        <f t="shared" si="2"/>
        <v>49.747700220253101</v>
      </c>
      <c r="D10" s="5">
        <f t="shared" si="3"/>
        <v>975.25229977974686</v>
      </c>
      <c r="E10" s="5">
        <f t="shared" si="1"/>
        <v>3999.5177222455632</v>
      </c>
    </row>
    <row r="11" spans="1:8" x14ac:dyDescent="0.35">
      <c r="A11">
        <v>7</v>
      </c>
      <c r="B11" s="5">
        <f t="shared" si="0"/>
        <v>1025</v>
      </c>
      <c r="C11" s="5">
        <f t="shared" si="2"/>
        <v>39.995177222455631</v>
      </c>
      <c r="D11" s="5">
        <f t="shared" si="3"/>
        <v>985.0048227775444</v>
      </c>
      <c r="E11" s="5">
        <f t="shared" si="1"/>
        <v>3014.512899468019</v>
      </c>
    </row>
    <row r="12" spans="1:8" x14ac:dyDescent="0.35">
      <c r="A12">
        <v>8</v>
      </c>
      <c r="B12" s="5">
        <f t="shared" si="0"/>
        <v>1025</v>
      </c>
      <c r="C12" s="5">
        <f t="shared" si="2"/>
        <v>30.145128994680192</v>
      </c>
      <c r="D12" s="5">
        <f t="shared" si="3"/>
        <v>994.85487100531986</v>
      </c>
      <c r="E12" s="5">
        <f t="shared" si="1"/>
        <v>2019.6580284626991</v>
      </c>
    </row>
    <row r="13" spans="1:8" x14ac:dyDescent="0.35">
      <c r="A13">
        <v>9</v>
      </c>
      <c r="B13" s="5">
        <f t="shared" si="0"/>
        <v>1025</v>
      </c>
      <c r="C13" s="5">
        <f t="shared" si="2"/>
        <v>20.196580284626993</v>
      </c>
      <c r="D13" s="5">
        <f t="shared" si="3"/>
        <v>1004.803419715373</v>
      </c>
      <c r="E13" s="5">
        <f t="shared" si="1"/>
        <v>1014.8546087473261</v>
      </c>
    </row>
    <row r="14" spans="1:8" x14ac:dyDescent="0.35">
      <c r="A14">
        <v>10</v>
      </c>
      <c r="B14" s="5">
        <f t="shared" si="0"/>
        <v>1025</v>
      </c>
      <c r="C14" s="5">
        <f t="shared" si="2"/>
        <v>10.148546087473262</v>
      </c>
      <c r="D14" s="5">
        <f t="shared" si="3"/>
        <v>1014.8514539125267</v>
      </c>
      <c r="E14" s="5">
        <f t="shared" si="1"/>
        <v>3.1548347993748393E-3</v>
      </c>
    </row>
    <row r="16" spans="1:8" x14ac:dyDescent="0.35">
      <c r="C16" s="5"/>
      <c r="D16" s="5"/>
    </row>
  </sheetData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B78D99-C01D-4252-8B54-E52F645389ED}">
  <sheetPr codeName="Sheet3"/>
  <dimension ref="A1:I13"/>
  <sheetViews>
    <sheetView tabSelected="1" workbookViewId="0"/>
  </sheetViews>
  <sheetFormatPr baseColWidth="10" defaultColWidth="8.7265625" defaultRowHeight="14.5" x14ac:dyDescent="0.35"/>
  <cols>
    <col min="1" max="1" width="20.54296875" bestFit="1" customWidth="1"/>
    <col min="2" max="2" width="12" bestFit="1" customWidth="1"/>
    <col min="4" max="4" width="9" bestFit="1" customWidth="1"/>
    <col min="5" max="5" width="10.54296875" bestFit="1" customWidth="1"/>
    <col min="6" max="6" width="10.1796875" bestFit="1" customWidth="1"/>
    <col min="7" max="7" width="17.453125" bestFit="1" customWidth="1"/>
    <col min="8" max="8" width="16.54296875" bestFit="1" customWidth="1"/>
  </cols>
  <sheetData>
    <row r="1" spans="1:9" x14ac:dyDescent="0.35">
      <c r="A1" s="1" t="s">
        <v>16</v>
      </c>
      <c r="B1" s="2">
        <v>25000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/>
    </row>
    <row r="2" spans="1:9" x14ac:dyDescent="0.35">
      <c r="A2" s="1" t="s">
        <v>11</v>
      </c>
      <c r="B2" s="2">
        <v>3000</v>
      </c>
      <c r="D2">
        <v>0</v>
      </c>
      <c r="E2" s="2"/>
      <c r="F2" s="2"/>
      <c r="G2" s="2"/>
      <c r="H2" s="2">
        <v>25000</v>
      </c>
    </row>
    <row r="3" spans="1:9" x14ac:dyDescent="0.35">
      <c r="A3" s="1" t="s">
        <v>17</v>
      </c>
      <c r="B3" s="3">
        <v>1.9999999552965164E-2</v>
      </c>
      <c r="D3">
        <v>1</v>
      </c>
      <c r="E3" s="2">
        <v>3000</v>
      </c>
      <c r="F3" s="2">
        <v>499.9999888241291</v>
      </c>
      <c r="G3" s="2">
        <v>2500.0000111758709</v>
      </c>
      <c r="H3" s="2">
        <v>22499.999988824129</v>
      </c>
    </row>
    <row r="4" spans="1:9" x14ac:dyDescent="0.35">
      <c r="A4" s="1" t="s">
        <v>18</v>
      </c>
      <c r="B4">
        <v>10</v>
      </c>
      <c r="D4">
        <v>2</v>
      </c>
      <c r="E4" s="2">
        <v>3000</v>
      </c>
      <c r="F4" s="2">
        <v>449.99998971819878</v>
      </c>
      <c r="G4" s="2">
        <v>2550.0000102818012</v>
      </c>
      <c r="H4" s="2">
        <v>19949.999978542328</v>
      </c>
    </row>
    <row r="5" spans="1:9" x14ac:dyDescent="0.35">
      <c r="A5" s="1" t="s">
        <v>15</v>
      </c>
      <c r="B5">
        <v>625.69743422936142</v>
      </c>
      <c r="D5">
        <v>3</v>
      </c>
      <c r="E5" s="2">
        <v>3000</v>
      </c>
      <c r="F5" s="2">
        <v>398.99999065250159</v>
      </c>
      <c r="G5" s="2">
        <v>2601.0000093474982</v>
      </c>
      <c r="H5" s="2">
        <v>17348.999969194829</v>
      </c>
    </row>
    <row r="6" spans="1:9" x14ac:dyDescent="0.35">
      <c r="D6">
        <v>4</v>
      </c>
      <c r="E6" s="2">
        <v>3000</v>
      </c>
      <c r="F6" s="2">
        <v>346.97999162828921</v>
      </c>
      <c r="G6" s="2">
        <v>2653.0200083717109</v>
      </c>
      <c r="H6" s="2">
        <v>14695.979960823119</v>
      </c>
    </row>
    <row r="7" spans="1:9" x14ac:dyDescent="0.35">
      <c r="D7">
        <v>5</v>
      </c>
      <c r="E7" s="2">
        <v>3000</v>
      </c>
      <c r="F7" s="2">
        <v>293.91959264684738</v>
      </c>
      <c r="G7" s="2">
        <v>2706.0804073531526</v>
      </c>
      <c r="H7" s="2">
        <v>11989.899553469966</v>
      </c>
    </row>
    <row r="8" spans="1:9" x14ac:dyDescent="0.35">
      <c r="D8">
        <v>6</v>
      </c>
      <c r="E8" s="2">
        <v>3000</v>
      </c>
      <c r="F8" s="2">
        <v>239.79798570949654</v>
      </c>
      <c r="G8" s="2">
        <v>2760.2020142905035</v>
      </c>
      <c r="H8" s="2">
        <v>9229.6975391794622</v>
      </c>
    </row>
    <row r="9" spans="1:9" x14ac:dyDescent="0.35">
      <c r="D9">
        <v>7</v>
      </c>
      <c r="E9" s="2">
        <v>3000</v>
      </c>
      <c r="F9" s="2">
        <v>184.59394665759291</v>
      </c>
      <c r="G9" s="2">
        <v>2815.4060533424072</v>
      </c>
      <c r="H9" s="2">
        <v>6414.291485837055</v>
      </c>
    </row>
    <row r="10" spans="1:9" x14ac:dyDescent="0.35">
      <c r="D10">
        <v>8</v>
      </c>
      <c r="E10" s="2">
        <v>3000</v>
      </c>
      <c r="F10" s="2">
        <v>128.28582684932937</v>
      </c>
      <c r="G10" s="2">
        <v>2871.7141731506708</v>
      </c>
      <c r="H10" s="2">
        <v>3542.5773126863842</v>
      </c>
    </row>
    <row r="11" spans="1:9" x14ac:dyDescent="0.35">
      <c r="D11">
        <v>9</v>
      </c>
      <c r="E11" s="2">
        <v>3000</v>
      </c>
      <c r="F11" s="2">
        <v>70.851544670072215</v>
      </c>
      <c r="G11" s="2">
        <v>2929.1484553299279</v>
      </c>
      <c r="H11" s="2">
        <v>613.42885735645632</v>
      </c>
    </row>
    <row r="12" spans="1:9" x14ac:dyDescent="0.35">
      <c r="D12">
        <v>10</v>
      </c>
      <c r="E12" s="2">
        <v>625.69743422936142</v>
      </c>
      <c r="F12" s="2">
        <v>12.268576872905058</v>
      </c>
      <c r="G12" s="2">
        <v>613.42885735645632</v>
      </c>
      <c r="H12" s="2">
        <v>0</v>
      </c>
    </row>
    <row r="13" spans="1:9" x14ac:dyDescent="0.35">
      <c r="E13" s="2"/>
      <c r="F13" s="2"/>
      <c r="G13" s="2"/>
      <c r="H13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18FE1-41A6-40C5-8DE5-D44CB6AA0AED}">
  <sheetPr codeName="Sheet2"/>
  <dimension ref="A1:I12"/>
  <sheetViews>
    <sheetView workbookViewId="0">
      <selection activeCell="H12" sqref="H12"/>
    </sheetView>
  </sheetViews>
  <sheetFormatPr baseColWidth="10" defaultColWidth="8.7265625" defaultRowHeight="14.5" x14ac:dyDescent="0.35"/>
  <cols>
    <col min="1" max="1" width="20.453125" bestFit="1" customWidth="1"/>
    <col min="2" max="2" width="10.1796875" bestFit="1" customWidth="1"/>
    <col min="4" max="4" width="9" bestFit="1" customWidth="1"/>
    <col min="5" max="5" width="10.54296875" bestFit="1" customWidth="1"/>
    <col min="6" max="6" width="11.1796875" bestFit="1" customWidth="1"/>
    <col min="7" max="7" width="17.453125" bestFit="1" customWidth="1"/>
    <col min="8" max="8" width="17.453125" customWidth="1"/>
    <col min="9" max="9" width="20.453125" bestFit="1" customWidth="1"/>
  </cols>
  <sheetData>
    <row r="1" spans="1:9" x14ac:dyDescent="0.35">
      <c r="A1" s="8" t="s">
        <v>16</v>
      </c>
      <c r="B1" s="9">
        <v>25000</v>
      </c>
      <c r="D1" s="1" t="s">
        <v>10</v>
      </c>
      <c r="E1" s="1" t="s">
        <v>11</v>
      </c>
      <c r="F1" s="1" t="s">
        <v>12</v>
      </c>
      <c r="G1" s="1" t="s">
        <v>13</v>
      </c>
      <c r="H1" s="1" t="s">
        <v>14</v>
      </c>
      <c r="I1" s="1" t="s">
        <v>15</v>
      </c>
    </row>
    <row r="2" spans="1:9" x14ac:dyDescent="0.35">
      <c r="A2" s="8" t="s">
        <v>11</v>
      </c>
      <c r="B2" s="9">
        <v>3000</v>
      </c>
      <c r="D2">
        <v>0</v>
      </c>
      <c r="E2" s="2"/>
      <c r="H2" s="5">
        <f>B1</f>
        <v>25000</v>
      </c>
    </row>
    <row r="3" spans="1:9" x14ac:dyDescent="0.35">
      <c r="A3" s="8" t="s">
        <v>17</v>
      </c>
      <c r="B3" s="10">
        <v>0.02</v>
      </c>
      <c r="D3">
        <v>1</v>
      </c>
      <c r="E3" s="2">
        <v>3000</v>
      </c>
      <c r="F3" s="5">
        <f>H2*$B$3</f>
        <v>500</v>
      </c>
      <c r="G3" s="7">
        <f>E3-F3</f>
        <v>2500</v>
      </c>
      <c r="H3" s="5">
        <f>H2-G3</f>
        <v>22500</v>
      </c>
    </row>
    <row r="4" spans="1:9" x14ac:dyDescent="0.35">
      <c r="A4" s="8" t="s">
        <v>18</v>
      </c>
      <c r="B4" s="11">
        <v>10</v>
      </c>
      <c r="D4">
        <v>2</v>
      </c>
      <c r="E4" s="2">
        <v>3000</v>
      </c>
      <c r="F4" s="5">
        <f t="shared" ref="F4:F11" si="0">H3*$B$3</f>
        <v>450</v>
      </c>
      <c r="G4" s="7">
        <f t="shared" ref="G4:G12" si="1">E4-F4</f>
        <v>2550</v>
      </c>
      <c r="H4" s="5">
        <f t="shared" ref="H4:H12" si="2">H3-G4</f>
        <v>19950</v>
      </c>
    </row>
    <row r="5" spans="1:9" x14ac:dyDescent="0.35">
      <c r="A5" s="8" t="s">
        <v>15</v>
      </c>
      <c r="B5" s="11"/>
      <c r="D5">
        <v>3</v>
      </c>
      <c r="E5" s="2">
        <v>3000</v>
      </c>
      <c r="F5" s="5">
        <f t="shared" si="0"/>
        <v>399</v>
      </c>
      <c r="G5" s="7">
        <f t="shared" si="1"/>
        <v>2601</v>
      </c>
      <c r="H5" s="5">
        <f t="shared" si="2"/>
        <v>17349</v>
      </c>
    </row>
    <row r="6" spans="1:9" x14ac:dyDescent="0.35">
      <c r="D6">
        <v>4</v>
      </c>
      <c r="E6" s="2">
        <v>3000</v>
      </c>
      <c r="F6" s="5">
        <f t="shared" si="0"/>
        <v>346.98</v>
      </c>
      <c r="G6" s="7">
        <f t="shared" si="1"/>
        <v>2653.02</v>
      </c>
      <c r="H6" s="5">
        <f t="shared" si="2"/>
        <v>14695.98</v>
      </c>
    </row>
    <row r="7" spans="1:9" x14ac:dyDescent="0.35">
      <c r="D7">
        <v>5</v>
      </c>
      <c r="E7" s="2">
        <v>3000</v>
      </c>
      <c r="F7" s="5">
        <f t="shared" si="0"/>
        <v>293.9196</v>
      </c>
      <c r="G7" s="7">
        <f t="shared" si="1"/>
        <v>2706.0803999999998</v>
      </c>
      <c r="H7" s="5">
        <f t="shared" si="2"/>
        <v>11989.899600000001</v>
      </c>
    </row>
    <row r="8" spans="1:9" x14ac:dyDescent="0.35">
      <c r="D8">
        <v>6</v>
      </c>
      <c r="E8" s="2">
        <v>3000</v>
      </c>
      <c r="F8" s="5">
        <f t="shared" si="0"/>
        <v>239.79799200000002</v>
      </c>
      <c r="G8" s="7">
        <f t="shared" si="1"/>
        <v>2760.2020080000002</v>
      </c>
      <c r="H8" s="5">
        <f t="shared" si="2"/>
        <v>9229.6975920000004</v>
      </c>
    </row>
    <row r="9" spans="1:9" x14ac:dyDescent="0.35">
      <c r="D9">
        <v>7</v>
      </c>
      <c r="E9" s="2">
        <v>3000</v>
      </c>
      <c r="F9" s="5">
        <f t="shared" si="0"/>
        <v>184.59395184000002</v>
      </c>
      <c r="G9" s="7">
        <f t="shared" si="1"/>
        <v>2815.40604816</v>
      </c>
      <c r="H9" s="5">
        <f t="shared" si="2"/>
        <v>6414.2915438400005</v>
      </c>
    </row>
    <row r="10" spans="1:9" x14ac:dyDescent="0.35">
      <c r="D10">
        <v>8</v>
      </c>
      <c r="E10" s="2">
        <v>3000</v>
      </c>
      <c r="F10" s="5">
        <f t="shared" si="0"/>
        <v>128.28583087680002</v>
      </c>
      <c r="G10" s="7">
        <f t="shared" si="1"/>
        <v>2871.7141691232</v>
      </c>
      <c r="H10" s="5">
        <f t="shared" si="2"/>
        <v>3542.5773747168005</v>
      </c>
    </row>
    <row r="11" spans="1:9" x14ac:dyDescent="0.35">
      <c r="D11">
        <v>9</v>
      </c>
      <c r="E11" s="2">
        <v>3000</v>
      </c>
      <c r="F11" s="5">
        <f t="shared" si="0"/>
        <v>70.851547494336018</v>
      </c>
      <c r="G11" s="7">
        <f t="shared" si="1"/>
        <v>2929.148452505664</v>
      </c>
      <c r="H11" s="5">
        <f t="shared" si="2"/>
        <v>613.42892221113652</v>
      </c>
    </row>
    <row r="12" spans="1:9" x14ac:dyDescent="0.35">
      <c r="D12">
        <v>10</v>
      </c>
      <c r="E12" s="4">
        <f>F12+H11</f>
        <v>625.69750065535925</v>
      </c>
      <c r="F12" s="5">
        <f>H11*$B$3</f>
        <v>12.268578444222731</v>
      </c>
      <c r="G12" s="7">
        <f t="shared" si="1"/>
        <v>613.42892221113652</v>
      </c>
      <c r="H12" s="5">
        <f t="shared" si="2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Code</vt:lpstr>
      <vt:lpstr>Libro</vt:lpstr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Ivana Torres</dc:creator>
  <cp:lastModifiedBy>Ivana Torres</cp:lastModifiedBy>
  <dcterms:created xsi:type="dcterms:W3CDTF">2019-02-20T05:25:25Z</dcterms:created>
  <dcterms:modified xsi:type="dcterms:W3CDTF">2019-03-07T00:04:36Z</dcterms:modified>
</cp:coreProperties>
</file>