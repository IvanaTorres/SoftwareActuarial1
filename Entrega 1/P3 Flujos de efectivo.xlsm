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ana_000\Documents\Software Actuarial 1\SoftwareActuarial1\"/>
    </mc:Choice>
  </mc:AlternateContent>
  <xr:revisionPtr revIDLastSave="0" documentId="13_ncr:1_{B371F908-4AB3-49E5-96E6-AF57B0D26D4A}" xr6:coauthVersionLast="41" xr6:coauthVersionMax="41" xr10:uidLastSave="{00000000-0000-0000-0000-000000000000}"/>
  <bookViews>
    <workbookView xWindow="-110" yWindow="-110" windowWidth="19420" windowHeight="10460" xr2:uid="{79A1AD90-B460-4CC6-9BD4-921F80731EC8}"/>
  </bookViews>
  <sheets>
    <sheet name="Hoja3" sheetId="4" r:id="rId1"/>
    <sheet name="Hoja2" sheetId="3" r:id="rId2"/>
    <sheet name="Hoja1" sheetId="2" r:id="rId3"/>
    <sheet name="Sheet1" sheetId="1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" l="1"/>
  <c r="B13" i="1"/>
  <c r="C11" i="1"/>
  <c r="D11" i="1"/>
  <c r="E11" i="1"/>
  <c r="F11" i="1"/>
  <c r="G11" i="1"/>
  <c r="H11" i="1"/>
  <c r="I11" i="1"/>
  <c r="J11" i="1"/>
  <c r="K11" i="1"/>
  <c r="K10" i="1"/>
  <c r="D10" i="1"/>
  <c r="E10" i="1" s="1"/>
  <c r="F10" i="1" s="1"/>
  <c r="G10" i="1" s="1"/>
  <c r="H10" i="1" s="1"/>
  <c r="I10" i="1" s="1"/>
  <c r="J10" i="1" s="1"/>
  <c r="C10" i="1"/>
  <c r="B10" i="1"/>
</calcChain>
</file>

<file path=xl/sharedStrings.xml><?xml version="1.0" encoding="utf-8"?>
<sst xmlns="http://schemas.openxmlformats.org/spreadsheetml/2006/main" count="13" uniqueCount="13">
  <si>
    <t>Datos de entrada</t>
  </si>
  <si>
    <t>2. Flujo de entrada al final del año 1</t>
  </si>
  <si>
    <t>3. Tasa de incremento de flujo de entrada cada año</t>
  </si>
  <si>
    <t>4. Número de años de los flujos de entrada</t>
  </si>
  <si>
    <t>5. Tasa de descuento</t>
  </si>
  <si>
    <t>Cálculo de valor presente neto de una serie de flujos</t>
  </si>
  <si>
    <t>1. Flujo de entrada al inicio del año 1 (inv. inicial)</t>
  </si>
  <si>
    <t>Año</t>
  </si>
  <si>
    <t>Modelo de flujos</t>
  </si>
  <si>
    <t>Flujo de efectivo</t>
  </si>
  <si>
    <t>(interés simple)</t>
  </si>
  <si>
    <t>Factor de descuento</t>
  </si>
  <si>
    <t>Valor Presente Neto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</si>
</sst>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&quot;$&quot;* #,##0.00_-;\-&quot;$&quot;* #,##0.00_-;_-&quot;$&quot;* &quot;-&quot;??_-;_-@_-"/>
    <numFmt numFmtId="165" formatCode="_-* #,##0.00_-;\-* #,##0.00_-;_-* &quot;-&quot;??_-;_-@_-"/>
    <numFmt numFmtId="166" formatCode="&quot;$&quot;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9">
    <xf numFmtId="0" fontId="0" fillId="0" borderId="0" xfId="0"/>
    <xf numFmtId="9" fontId="0" fillId="2" borderId="0" xfId="0" applyNumberFormat="1" applyFill="1"/>
    <xf numFmtId="0" fontId="0" fillId="2" borderId="0" xfId="0" applyFill="1"/>
    <xf numFmtId="0" fontId="2" fillId="0" borderId="0" xfId="0" applyFont="1"/>
    <xf numFmtId="165" fontId="0" fillId="0" borderId="0" xfId="1" applyFont="1"/>
    <xf numFmtId="166" fontId="0" fillId="0" borderId="0" xfId="0" applyNumberFormat="1"/>
    <xf numFmtId="166" fontId="0" fillId="0" borderId="0" xfId="1" applyNumberFormat="1" applyFont="1"/>
    <xf numFmtId="164" fontId="0" fillId="2" borderId="0" xfId="2" applyFont="1" applyFill="1"/>
    <xf numFmtId="0" fontId="0" fillId="0" borderId="0" xfId="0" applyAlignment="1">
      <alignment horizontal="center"/>
    </xf>
  </cellXfs>
  <cellStyles count="3">
    <cellStyle name="Millares" xfId="1" builtinId="3"/>
    <cellStyle name="Moneda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9F7C2F-2BEC-47B0-92B1-A1C99B0D82A0}">
  <sheetPr codeName="Hoja3"/>
  <dimension ref="A2"/>
  <sheetViews>
    <sheetView tabSelected="1" workbookViewId="0"/>
  </sheetViews>
  <sheetFormatPr baseColWidth="10" defaultRowHeight="14.5" x14ac:dyDescent="0.35"/>
  <sheetData>
    <row r="2" spans="1:1" x14ac:dyDescent="0.35">
      <c r="A2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5BA4D-2122-4AF9-89C9-07530FBD4BE2}">
  <sheetPr codeName="Hoja2"/>
  <dimension ref="A1"/>
  <sheetViews>
    <sheetView workbookViewId="0">
      <selection activeCell="A2" sqref="A2:A8"/>
    </sheetView>
  </sheetViews>
  <sheetFormatPr baseColWidth="10" defaultRowHeight="14.5" x14ac:dyDescent="0.3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6AD26-766D-43F0-892C-CFD87EC61C9C}">
  <sheetPr codeName="Hoja1"/>
  <dimension ref="A2:A11"/>
  <sheetViews>
    <sheetView workbookViewId="0"/>
  </sheetViews>
  <sheetFormatPr baseColWidth="10" defaultRowHeight="14.5" x14ac:dyDescent="0.35"/>
  <sheetData>
    <row r="2" spans="1:1" x14ac:dyDescent="0.35">
      <c r="A2">
        <v>1</v>
      </c>
    </row>
    <row r="3" spans="1:1" x14ac:dyDescent="0.35">
      <c r="A3">
        <v>2</v>
      </c>
    </row>
    <row r="4" spans="1:1" x14ac:dyDescent="0.35">
      <c r="A4">
        <v>3</v>
      </c>
    </row>
    <row r="5" spans="1:1" x14ac:dyDescent="0.35">
      <c r="A5">
        <v>4</v>
      </c>
    </row>
    <row r="6" spans="1:1" x14ac:dyDescent="0.35">
      <c r="A6">
        <v>5</v>
      </c>
    </row>
    <row r="7" spans="1:1" x14ac:dyDescent="0.35">
      <c r="A7">
        <v>6</v>
      </c>
    </row>
    <row r="8" spans="1:1" x14ac:dyDescent="0.35">
      <c r="A8">
        <v>7</v>
      </c>
    </row>
    <row r="9" spans="1:1" x14ac:dyDescent="0.35">
      <c r="A9">
        <v>8</v>
      </c>
    </row>
    <row r="10" spans="1:1" x14ac:dyDescent="0.35">
      <c r="A10">
        <v>9</v>
      </c>
    </row>
    <row r="11" spans="1:1" x14ac:dyDescent="0.35">
      <c r="A11">
        <v>10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5EDD-4529-4EA4-B5EA-80C304587C2C}">
  <sheetPr codeName="Sheet1"/>
  <dimension ref="A1:M13"/>
  <sheetViews>
    <sheetView workbookViewId="0">
      <selection activeCell="C17" sqref="C17"/>
    </sheetView>
  </sheetViews>
  <sheetFormatPr baseColWidth="10" defaultColWidth="8.7265625" defaultRowHeight="14.5" x14ac:dyDescent="0.35"/>
  <cols>
    <col min="1" max="1" width="47" bestFit="1" customWidth="1"/>
    <col min="2" max="2" width="12" bestFit="1" customWidth="1"/>
    <col min="3" max="3" width="15.26953125" bestFit="1" customWidth="1"/>
    <col min="4" max="11" width="12" bestFit="1" customWidth="1"/>
  </cols>
  <sheetData>
    <row r="1" spans="1:13" x14ac:dyDescent="0.35">
      <c r="A1" s="3" t="s">
        <v>0</v>
      </c>
      <c r="B1" s="8" t="s">
        <v>5</v>
      </c>
      <c r="C1" s="8"/>
      <c r="D1" s="8"/>
      <c r="E1" s="8"/>
      <c r="F1" s="8"/>
      <c r="G1" s="8"/>
      <c r="H1" s="8"/>
    </row>
    <row r="2" spans="1:13" x14ac:dyDescent="0.35">
      <c r="A2" t="s">
        <v>6</v>
      </c>
      <c r="B2" s="7">
        <v>40000</v>
      </c>
    </row>
    <row r="3" spans="1:13" x14ac:dyDescent="0.35">
      <c r="A3" t="s">
        <v>1</v>
      </c>
      <c r="B3" s="7">
        <v>12000</v>
      </c>
    </row>
    <row r="4" spans="1:13" x14ac:dyDescent="0.35">
      <c r="A4" t="s">
        <v>2</v>
      </c>
      <c r="B4" s="1">
        <v>0.12</v>
      </c>
    </row>
    <row r="5" spans="1:13" x14ac:dyDescent="0.35">
      <c r="A5" t="s">
        <v>3</v>
      </c>
      <c r="B5" s="2">
        <v>10</v>
      </c>
    </row>
    <row r="6" spans="1:13" x14ac:dyDescent="0.35">
      <c r="A6" t="s">
        <v>4</v>
      </c>
      <c r="B6" s="1">
        <v>0.16</v>
      </c>
      <c r="C6" t="s">
        <v>10</v>
      </c>
    </row>
    <row r="8" spans="1:13" x14ac:dyDescent="0.35">
      <c r="A8" t="s">
        <v>8</v>
      </c>
    </row>
    <row r="9" spans="1:13" x14ac:dyDescent="0.35">
      <c r="A9" t="s">
        <v>7</v>
      </c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</row>
    <row r="10" spans="1:13" x14ac:dyDescent="0.35">
      <c r="A10" t="s">
        <v>9</v>
      </c>
      <c r="B10" s="5">
        <f>B3</f>
        <v>12000</v>
      </c>
      <c r="C10" s="6">
        <f>B10*(1+$B$4)</f>
        <v>13440.000000000002</v>
      </c>
      <c r="D10" s="6">
        <f t="shared" ref="D10:K10" si="0">C10*(1+$B$4)</f>
        <v>15052.800000000003</v>
      </c>
      <c r="E10" s="6">
        <f t="shared" si="0"/>
        <v>16859.136000000006</v>
      </c>
      <c r="F10" s="6">
        <f t="shared" si="0"/>
        <v>18882.23232000001</v>
      </c>
      <c r="G10" s="6">
        <f t="shared" si="0"/>
        <v>21148.100198400014</v>
      </c>
      <c r="H10" s="6">
        <f t="shared" si="0"/>
        <v>23685.872222208018</v>
      </c>
      <c r="I10" s="6">
        <f t="shared" si="0"/>
        <v>26528.176888872982</v>
      </c>
      <c r="J10" s="6">
        <f t="shared" si="0"/>
        <v>29711.558115537744</v>
      </c>
      <c r="K10" s="6">
        <f t="shared" si="0"/>
        <v>33276.945089402274</v>
      </c>
    </row>
    <row r="11" spans="1:13" x14ac:dyDescent="0.35">
      <c r="A11" t="s">
        <v>11</v>
      </c>
      <c r="B11">
        <f>1/(1+B9*$B$6)</f>
        <v>0.86206896551724144</v>
      </c>
      <c r="C11">
        <f t="shared" ref="C11:K11" si="1">1/(1+C9*$B$6)</f>
        <v>0.75757575757575757</v>
      </c>
      <c r="D11">
        <f t="shared" si="1"/>
        <v>0.67567567567567566</v>
      </c>
      <c r="E11">
        <f t="shared" si="1"/>
        <v>0.6097560975609756</v>
      </c>
      <c r="F11">
        <f t="shared" si="1"/>
        <v>0.55555555555555558</v>
      </c>
      <c r="G11">
        <f t="shared" si="1"/>
        <v>0.51020408163265307</v>
      </c>
      <c r="H11">
        <f t="shared" si="1"/>
        <v>0.47169811320754712</v>
      </c>
      <c r="I11">
        <f t="shared" si="1"/>
        <v>0.43859649122807015</v>
      </c>
      <c r="J11">
        <f t="shared" si="1"/>
        <v>0.4098360655737705</v>
      </c>
      <c r="K11">
        <f t="shared" si="1"/>
        <v>0.38461538461538458</v>
      </c>
    </row>
    <row r="13" spans="1:13" x14ac:dyDescent="0.35">
      <c r="A13" t="s">
        <v>12</v>
      </c>
      <c r="B13" s="6">
        <f>-B2+B10*B11+C10*C11+D10*D11+E10*E11+F10*F11+G10*G11+H10*H11+I10*I11+J10*J11+K10*K11</f>
        <v>70040.833314664094</v>
      </c>
      <c r="M13" s="4"/>
    </row>
  </sheetData>
  <mergeCells count="1">
    <mergeCell ref="B1:H1"/>
  </mergeCell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Hoja3</vt:lpstr>
      <vt:lpstr>Hoja2</vt:lpstr>
      <vt:lpstr>Hoja1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Ivana Torres</dc:creator>
  <cp:lastModifiedBy>Ivana Torres</cp:lastModifiedBy>
  <dcterms:created xsi:type="dcterms:W3CDTF">2019-02-14T00:33:35Z</dcterms:created>
  <dcterms:modified xsi:type="dcterms:W3CDTF">2019-03-13T18:21:02Z</dcterms:modified>
</cp:coreProperties>
</file>